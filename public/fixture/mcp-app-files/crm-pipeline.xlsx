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Lead</v>
      </c>
      <c r="B1" t="str">
        <v>Owner</v>
      </c>
      <c r="C1" t="str">
        <v>Stage</v>
      </c>
      <c r="D1" t="str">
        <v>Close date</v>
      </c>
      <c r="E1" t="str">
        <v>Win rate</v>
      </c>
      <c r="F1" t="str">
        <v>Seats</v>
      </c>
      <c r="G1" t="str">
        <v>Value</v>
      </c>
    </row>
    <row r="2">
      <c r="A2" t="str">
        <v>Northwind Traders</v>
      </c>
      <c r="B2" t="str">
        <v>Dana</v>
      </c>
      <c r="C2" t="str">
        <v>Proposal</v>
      </c>
      <c r="D2" s="1">
        <v>46340.083333333336</v>
      </c>
      <c r="E2" s="2">
        <v>0.6</v>
      </c>
      <c r="F2">
        <v>40</v>
      </c>
      <c r="G2" s="3">
        <f>F2*480</f>
        <v>19200</v>
      </c>
    </row>
    <row r="3">
      <c r="A3" t="str">
        <v>Contoso Pharma</v>
      </c>
      <c r="B3" t="str">
        <v>Yossi</v>
      </c>
      <c r="C3" t="str">
        <v>Negotiation</v>
      </c>
      <c r="D3" s="1">
        <v>46354.083333333336</v>
      </c>
      <c r="E3" s="2">
        <v>0.75</v>
      </c>
      <c r="F3">
        <v>120</v>
      </c>
      <c r="G3" s="3">
        <f>F3*480</f>
        <v>57600</v>
      </c>
    </row>
    <row r="4">
      <c r="A4" t="str">
        <v>Fabrikam Logistics</v>
      </c>
      <c r="B4" t="str">
        <v>Dana</v>
      </c>
      <c r="C4" t="str">
        <v>Discovery</v>
      </c>
      <c r="D4" s="1">
        <v>46365.083333333336</v>
      </c>
      <c r="E4" s="2">
        <v>0.2</v>
      </c>
      <c r="F4">
        <v>25</v>
      </c>
      <c r="G4" s="3">
        <f>F4*480</f>
        <v>12000</v>
      </c>
    </row>
    <row r="5">
      <c r="A5" t="str">
        <v>Tailspin Air</v>
      </c>
      <c r="B5" t="str">
        <v>Noa</v>
      </c>
      <c r="C5" t="str">
        <v>Won</v>
      </c>
      <c r="D5" s="1">
        <v>46325.083333333336</v>
      </c>
      <c r="E5" s="2">
        <v>1</v>
      </c>
      <c r="F5">
        <v>60</v>
      </c>
      <c r="G5" s="3">
        <f>F5*480</f>
        <v>28800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Open leads</v>
      </c>
      <c r="B2">
        <v>3</v>
      </c>
    </row>
    <row r="3">
      <c r="A3" t="str">
        <v>Seats in pipeline</v>
      </c>
      <c r="B3">
        <v>245</v>
      </c>
    </row>
    <row r="4">
      <c r="A4" t="str">
        <v>Pipeline value</v>
      </c>
      <c r="B4" s="3">
        <f>SUM(Leads!G2:G5)</f>
        <v>117600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